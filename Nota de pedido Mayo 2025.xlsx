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u1v4A1fsRn1zJ/XueQidNYCQvETYqkUKFdpjv9szZRM="/>
    </ext>
  </extLst>
</workbook>
</file>

<file path=xl/sharedStrings.xml><?xml version="1.0" encoding="utf-8"?>
<sst xmlns="http://schemas.openxmlformats.org/spreadsheetml/2006/main" count="129" uniqueCount="66">
  <si>
    <t>MINERVA CAPILAR</t>
  </si>
  <si>
    <t>KERATINA NUTRISSE</t>
  </si>
  <si>
    <t>PRECIO UNITARIO</t>
  </si>
  <si>
    <t>CANTIDAD POR BULTO</t>
  </si>
  <si>
    <t>PRECIO POR BULTO</t>
  </si>
  <si>
    <t>CANTDAD</t>
  </si>
  <si>
    <t>SUB TOTAL</t>
  </si>
  <si>
    <t>PRECIO PUBLICO</t>
  </si>
  <si>
    <t>Mascara capilar x 1kg</t>
  </si>
  <si>
    <t>Mascara capilar x 250gr</t>
  </si>
  <si>
    <t>Ampollas x 12u / presentacion vieja</t>
  </si>
  <si>
    <t>Crema para peinar lacios (sin enjuague) x 250gr</t>
  </si>
  <si>
    <t>Serum reparador de puntas x 30cc</t>
  </si>
  <si>
    <t>Shampoo x 5l</t>
  </si>
  <si>
    <t>Shampoo x 1l</t>
  </si>
  <si>
    <t>Shampoo x 500cc</t>
  </si>
  <si>
    <t>Acondicionador x 5l</t>
  </si>
  <si>
    <t>Acondicionador x 1l</t>
  </si>
  <si>
    <t>Acondicionador x 500cc</t>
  </si>
  <si>
    <t>ARGAN THERAPY</t>
  </si>
  <si>
    <t>Crema para peinar rulos (sin enjuegue) x 250gr</t>
  </si>
  <si>
    <t>LINO REPAIR</t>
  </si>
  <si>
    <t>LINEA POST COLOR - EXTRA ACIDA</t>
  </si>
  <si>
    <t>RESTO DE LINEA MINERVA</t>
  </si>
  <si>
    <t>Mascara capilar Almendra x 1kg</t>
  </si>
  <si>
    <t>Mascara capilar Almendra x 250gr</t>
  </si>
  <si>
    <t>Shampoo Neutro x 5l</t>
  </si>
  <si>
    <t>Shampoo Neutro x 1l</t>
  </si>
  <si>
    <t>Shampoo Neutro x 500cc</t>
  </si>
  <si>
    <t>Shampoo Matizador x 500cc</t>
  </si>
  <si>
    <t>Encerado capilar x 1kg</t>
  </si>
  <si>
    <t>Encerado capilar x 250cc</t>
  </si>
  <si>
    <t>LINEA GLOSS</t>
  </si>
  <si>
    <t>Liso extremo crema x 1l</t>
  </si>
  <si>
    <t>Liso extremo gel x 1l</t>
  </si>
  <si>
    <t>Liso extremo liquido x 1l</t>
  </si>
  <si>
    <t>Shock de keratina crema x 1l</t>
  </si>
  <si>
    <t>Shock de keratina liquido x 1l</t>
  </si>
  <si>
    <t>Botox crema x 1l</t>
  </si>
  <si>
    <t>Plastificado crema x 1l</t>
  </si>
  <si>
    <t>Botox matizador x 1l</t>
  </si>
  <si>
    <t>Liso extremo crema x 500cc</t>
  </si>
  <si>
    <t>Liso extremo gel x 500cc</t>
  </si>
  <si>
    <t>Liso extremo liquido x 500cc</t>
  </si>
  <si>
    <t>Shock de keratina crema x 500cc</t>
  </si>
  <si>
    <t>Shock de keratina liquido x 500cc</t>
  </si>
  <si>
    <t>Botox crema x 500cc</t>
  </si>
  <si>
    <t>Plastificado crema x 500cc</t>
  </si>
  <si>
    <t>Botox matizador x 500cc</t>
  </si>
  <si>
    <t xml:space="preserve">Levanta muertos x 1kg </t>
  </si>
  <si>
    <t xml:space="preserve">Bio Plex x 1kg </t>
  </si>
  <si>
    <t>Shampoo bioplex</t>
  </si>
  <si>
    <t>2 en 1 / Colageno + botox x 1kg</t>
  </si>
  <si>
    <t>Oro liquido x 200cc</t>
  </si>
  <si>
    <t>LINEA BLACK</t>
  </si>
  <si>
    <t>CANTIDAD</t>
  </si>
  <si>
    <t>Cera Fuerte</t>
  </si>
  <si>
    <t>Cera Normal</t>
  </si>
  <si>
    <t>Gel de afeitar x 1l</t>
  </si>
  <si>
    <t>Gel de afeitar x 250gr</t>
  </si>
  <si>
    <t>Gomina x 250gr</t>
  </si>
  <si>
    <t>After shave x 250gr</t>
  </si>
  <si>
    <t>Shampoo cabello y barba x 500</t>
  </si>
  <si>
    <t>TOTAL PRIMERA ESCALA HASTA $1.000.000</t>
  </si>
  <si>
    <t>TOTAL SEGUNDA ESCALA HASTA $3.000.000</t>
  </si>
  <si>
    <t>TOTAL TERCERA ESCALA A PARTIR DE LOS $3.000.000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</si>
</sst>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0"/>
      <name val="Arial"/>
    </font>
    <font>
      <color theme="1"/>
      <name val="Arial"/>
    </font>
    <font>
      <color rgb="FFFFFFFF"/>
      <name val="Arial"/>
    </font>
    <font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2" fontId="2" numFmtId="0" xfId="0" applyAlignment="1" applyFont="1">
      <alignment horizontal="center"/>
    </xf>
    <xf borderId="0" fillId="2" fontId="3" numFmtId="0" xfId="0" applyFont="1"/>
    <xf borderId="0" fillId="0" fontId="3" numFmtId="0" xfId="0" applyFont="1"/>
    <xf borderId="0" fillId="0" fontId="4" numFmtId="0" xfId="0" applyAlignment="1" applyFont="1">
      <alignment horizontal="center" vertical="center"/>
    </xf>
    <xf borderId="0" fillId="3" fontId="3" numFmtId="0" xfId="0" applyFill="1" applyFont="1"/>
    <xf borderId="0" fillId="3" fontId="3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4" fontId="3" numFmtId="0" xfId="0" applyFill="1" applyFont="1"/>
    <xf borderId="0" fillId="4" fontId="3" numFmtId="0" xfId="0" applyAlignment="1" applyFont="1">
      <alignment readingOrder="0"/>
    </xf>
    <xf borderId="0" fillId="2" fontId="4" numFmtId="0" xfId="0" applyFont="1"/>
    <xf borderId="0" fillId="5" fontId="3" numFmtId="0" xfId="0" applyFill="1" applyFont="1"/>
    <xf borderId="0" fillId="5" fontId="3" numFmtId="0" xfId="0" applyAlignment="1" applyFont="1">
      <alignment readingOrder="0"/>
    </xf>
    <xf borderId="0" fillId="6" fontId="3" numFmtId="0" xfId="0" applyFill="1" applyFont="1"/>
    <xf borderId="0" fillId="6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7" fontId="3" numFmtId="0" xfId="0" applyFill="1" applyFont="1"/>
    <xf borderId="0" fillId="7" fontId="3" numFmtId="0" xfId="0" applyAlignment="1" applyFont="1">
      <alignment readingOrder="0"/>
    </xf>
    <xf borderId="0" fillId="2" fontId="4" numFmtId="0" xfId="0" applyAlignment="1" applyFont="1">
      <alignment horizontal="center"/>
    </xf>
    <xf borderId="0" fillId="8" fontId="3" numFmtId="0" xfId="0" applyFill="1" applyFont="1"/>
    <xf borderId="0" fillId="8" fontId="3" numFmtId="0" xfId="0" applyAlignment="1" applyFont="1">
      <alignment readingOrder="0"/>
    </xf>
    <xf borderId="0" fillId="9" fontId="5" numFmtId="0" xfId="0" applyAlignment="1" applyFill="1" applyFont="1">
      <alignment horizontal="right"/>
    </xf>
    <xf borderId="0" fillId="9" fontId="3" numFmtId="164" xfId="0" applyAlignment="1" applyFont="1" applyNumberFormat="1">
      <alignment horizontal="center" vertical="center"/>
    </xf>
    <xf borderId="0" fillId="9" fontId="3" numFmtId="0" xfId="0" applyFont="1"/>
    <xf borderId="0" fillId="10" fontId="3" numFmtId="0" xfId="0" applyAlignment="1" applyFill="1" applyFont="1">
      <alignment horizontal="right"/>
    </xf>
    <xf borderId="0" fillId="10" fontId="3" numFmtId="164" xfId="0" applyAlignment="1" applyFont="1" applyNumberFormat="1">
      <alignment horizontal="center"/>
    </xf>
    <xf borderId="0" fillId="11" fontId="3" numFmtId="0" xfId="0" applyAlignment="1" applyFill="1" applyFont="1">
      <alignment horizontal="right"/>
    </xf>
    <xf borderId="0" fillId="11" fontId="3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6.63"/>
    <col customWidth="1" min="3" max="3" width="15.75"/>
    <col customWidth="1" min="4" max="4" width="19.5"/>
    <col customWidth="1" min="5" max="5" width="17.38"/>
    <col customWidth="1" min="6" max="6" width="12.63"/>
    <col customWidth="1" min="7" max="7" width="17.0"/>
    <col customWidth="1" min="9" max="9" width="15.13"/>
  </cols>
  <sheetData>
    <row r="1" ht="15.75" customHeight="1"/>
    <row r="2" ht="15.75" customHeight="1">
      <c r="B2" s="1" t="s">
        <v>0</v>
      </c>
    </row>
    <row r="3" ht="15.75" customHeight="1"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/>
      <c r="I3" s="5" t="s">
        <v>7</v>
      </c>
      <c r="J3" s="6"/>
    </row>
    <row r="4" ht="15.75" customHeight="1">
      <c r="B4" s="7" t="s">
        <v>8</v>
      </c>
      <c r="C4" s="8">
        <v>5060.0</v>
      </c>
      <c r="D4" s="7">
        <v>6.0</v>
      </c>
      <c r="E4" s="7">
        <f t="shared" ref="E4:E14" si="1">C4*D4</f>
        <v>30360</v>
      </c>
      <c r="F4" s="8">
        <v>0.0</v>
      </c>
      <c r="G4" s="7">
        <f t="shared" ref="G4:G14" si="2">E4*F4</f>
        <v>0</v>
      </c>
      <c r="H4" s="9">
        <f>SUM(G4:G14)+SUM(J4:J14)</f>
        <v>0</v>
      </c>
      <c r="I4" s="5">
        <f t="shared" ref="I4:I14" si="3">C4*2</f>
        <v>10120</v>
      </c>
    </row>
    <row r="5" ht="15.75" customHeight="1">
      <c r="B5" s="7" t="s">
        <v>9</v>
      </c>
      <c r="C5" s="8">
        <v>2800.0</v>
      </c>
      <c r="D5" s="7">
        <v>18.0</v>
      </c>
      <c r="E5" s="7">
        <f t="shared" si="1"/>
        <v>50400</v>
      </c>
      <c r="F5" s="8">
        <v>0.0</v>
      </c>
      <c r="G5" s="7">
        <f t="shared" si="2"/>
        <v>0</v>
      </c>
      <c r="I5" s="5">
        <f t="shared" si="3"/>
        <v>5600</v>
      </c>
    </row>
    <row r="6" ht="15.75" customHeight="1">
      <c r="B6" s="7" t="s">
        <v>10</v>
      </c>
      <c r="C6" s="7">
        <v>9700.0</v>
      </c>
      <c r="D6" s="7">
        <v>32.0</v>
      </c>
      <c r="E6" s="7">
        <f t="shared" si="1"/>
        <v>310400</v>
      </c>
      <c r="F6" s="7">
        <v>0.0</v>
      </c>
      <c r="G6" s="7">
        <f t="shared" si="2"/>
        <v>0</v>
      </c>
      <c r="I6" s="5">
        <f t="shared" si="3"/>
        <v>19400</v>
      </c>
    </row>
    <row r="7" ht="15.75" customHeight="1">
      <c r="B7" s="7" t="s">
        <v>11</v>
      </c>
      <c r="C7" s="8">
        <v>2700.0</v>
      </c>
      <c r="D7" s="8">
        <v>20.0</v>
      </c>
      <c r="E7" s="7">
        <f t="shared" si="1"/>
        <v>54000</v>
      </c>
      <c r="F7" s="7">
        <v>0.0</v>
      </c>
      <c r="G7" s="7">
        <f t="shared" si="2"/>
        <v>0</v>
      </c>
      <c r="I7" s="5">
        <f t="shared" si="3"/>
        <v>5400</v>
      </c>
    </row>
    <row r="8" ht="15.75" customHeight="1">
      <c r="B8" s="7" t="s">
        <v>12</v>
      </c>
      <c r="C8" s="7">
        <v>3900.0</v>
      </c>
      <c r="D8" s="8">
        <v>54.0</v>
      </c>
      <c r="E8" s="7">
        <f t="shared" si="1"/>
        <v>210600</v>
      </c>
      <c r="F8" s="8">
        <v>0.0</v>
      </c>
      <c r="G8" s="7">
        <f t="shared" si="2"/>
        <v>0</v>
      </c>
      <c r="I8" s="5">
        <f t="shared" si="3"/>
        <v>7800</v>
      </c>
    </row>
    <row r="9" ht="15.75" customHeight="1">
      <c r="B9" s="7" t="s">
        <v>13</v>
      </c>
      <c r="C9" s="8">
        <v>9850.0</v>
      </c>
      <c r="D9" s="7">
        <v>4.0</v>
      </c>
      <c r="E9" s="7">
        <f t="shared" si="1"/>
        <v>39400</v>
      </c>
      <c r="F9" s="8">
        <v>0.0</v>
      </c>
      <c r="G9" s="7">
        <f t="shared" si="2"/>
        <v>0</v>
      </c>
      <c r="I9" s="5">
        <f t="shared" si="3"/>
        <v>19700</v>
      </c>
    </row>
    <row r="10" ht="15.75" customHeight="1">
      <c r="B10" s="7" t="s">
        <v>14</v>
      </c>
      <c r="C10" s="8">
        <v>4075.0</v>
      </c>
      <c r="D10" s="7">
        <v>12.0</v>
      </c>
      <c r="E10" s="7">
        <f t="shared" si="1"/>
        <v>48900</v>
      </c>
      <c r="F10" s="8">
        <v>0.0</v>
      </c>
      <c r="G10" s="7">
        <f t="shared" si="2"/>
        <v>0</v>
      </c>
      <c r="I10" s="5">
        <f t="shared" si="3"/>
        <v>8150</v>
      </c>
    </row>
    <row r="11" ht="15.75" customHeight="1">
      <c r="B11" s="7" t="s">
        <v>15</v>
      </c>
      <c r="C11" s="8">
        <v>2980.0</v>
      </c>
      <c r="D11" s="7">
        <v>12.0</v>
      </c>
      <c r="E11" s="7">
        <f t="shared" si="1"/>
        <v>35760</v>
      </c>
      <c r="F11" s="8">
        <v>0.0</v>
      </c>
      <c r="G11" s="7">
        <f t="shared" si="2"/>
        <v>0</v>
      </c>
      <c r="I11" s="5">
        <f t="shared" si="3"/>
        <v>5960</v>
      </c>
    </row>
    <row r="12" ht="15.75" customHeight="1">
      <c r="B12" s="7" t="s">
        <v>16</v>
      </c>
      <c r="C12" s="8">
        <v>8610.0</v>
      </c>
      <c r="D12" s="7">
        <v>4.0</v>
      </c>
      <c r="E12" s="7">
        <f t="shared" si="1"/>
        <v>34440</v>
      </c>
      <c r="F12" s="7">
        <v>0.0</v>
      </c>
      <c r="G12" s="7">
        <f t="shared" si="2"/>
        <v>0</v>
      </c>
      <c r="I12" s="5">
        <f t="shared" si="3"/>
        <v>17220</v>
      </c>
    </row>
    <row r="13" ht="15.75" customHeight="1">
      <c r="B13" s="7" t="s">
        <v>17</v>
      </c>
      <c r="C13" s="8">
        <v>4030.0</v>
      </c>
      <c r="D13" s="7">
        <v>12.0</v>
      </c>
      <c r="E13" s="7">
        <f t="shared" si="1"/>
        <v>48360</v>
      </c>
      <c r="F13" s="8">
        <v>0.0</v>
      </c>
      <c r="G13" s="7">
        <f t="shared" si="2"/>
        <v>0</v>
      </c>
      <c r="I13" s="5">
        <f t="shared" si="3"/>
        <v>8060</v>
      </c>
    </row>
    <row r="14" ht="15.75" customHeight="1">
      <c r="B14" s="7" t="s">
        <v>18</v>
      </c>
      <c r="C14" s="8">
        <v>2850.0</v>
      </c>
      <c r="D14" s="7">
        <v>12.0</v>
      </c>
      <c r="E14" s="7">
        <f t="shared" si="1"/>
        <v>34200</v>
      </c>
      <c r="F14" s="8">
        <v>0.0</v>
      </c>
      <c r="G14" s="7">
        <f t="shared" si="2"/>
        <v>0</v>
      </c>
      <c r="I14" s="5">
        <f t="shared" si="3"/>
        <v>5700</v>
      </c>
    </row>
    <row r="15" ht="15.75" customHeight="1">
      <c r="B15" s="7"/>
      <c r="G15" s="7"/>
    </row>
    <row r="16" ht="15.75" customHeight="1">
      <c r="B16" s="2" t="s">
        <v>19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4"/>
      <c r="I16" s="5" t="s">
        <v>7</v>
      </c>
      <c r="J16" s="6"/>
    </row>
    <row r="17" ht="15.75" customHeight="1">
      <c r="B17" s="10" t="s">
        <v>8</v>
      </c>
      <c r="C17" s="10">
        <f t="shared" ref="C17:D17" si="4">C4</f>
        <v>5060</v>
      </c>
      <c r="D17" s="10">
        <f t="shared" si="4"/>
        <v>6</v>
      </c>
      <c r="E17" s="10">
        <f t="shared" ref="E17:E27" si="6">C17*D17</f>
        <v>30360</v>
      </c>
      <c r="F17" s="11">
        <v>0.0</v>
      </c>
      <c r="G17" s="10">
        <f t="shared" ref="G17:G27" si="7">E17*F17</f>
        <v>0</v>
      </c>
      <c r="H17" s="9">
        <f>SUM(G17:G27)+SUM(J17:J27)</f>
        <v>0</v>
      </c>
      <c r="I17" s="5">
        <f t="shared" ref="I17:I27" si="8">C17*2</f>
        <v>10120</v>
      </c>
    </row>
    <row r="18" ht="15.75" customHeight="1">
      <c r="B18" s="10" t="s">
        <v>9</v>
      </c>
      <c r="C18" s="10">
        <f t="shared" ref="C18:D18" si="5">C5</f>
        <v>2800</v>
      </c>
      <c r="D18" s="10">
        <f t="shared" si="5"/>
        <v>18</v>
      </c>
      <c r="E18" s="10">
        <f t="shared" si="6"/>
        <v>50400</v>
      </c>
      <c r="F18" s="11">
        <v>0.0</v>
      </c>
      <c r="G18" s="10">
        <f t="shared" si="7"/>
        <v>0</v>
      </c>
      <c r="I18" s="5">
        <f t="shared" si="8"/>
        <v>5600</v>
      </c>
    </row>
    <row r="19" ht="15.75" customHeight="1">
      <c r="B19" s="10" t="s">
        <v>10</v>
      </c>
      <c r="C19" s="10">
        <f t="shared" ref="C19:D19" si="9">C6</f>
        <v>9700</v>
      </c>
      <c r="D19" s="10">
        <f t="shared" si="9"/>
        <v>32</v>
      </c>
      <c r="E19" s="10">
        <f t="shared" si="6"/>
        <v>310400</v>
      </c>
      <c r="F19" s="10">
        <v>0.0</v>
      </c>
      <c r="G19" s="10">
        <f t="shared" si="7"/>
        <v>0</v>
      </c>
      <c r="I19" s="5">
        <f t="shared" si="8"/>
        <v>19400</v>
      </c>
    </row>
    <row r="20" ht="15.75" customHeight="1">
      <c r="B20" s="10" t="s">
        <v>20</v>
      </c>
      <c r="C20" s="10">
        <f t="shared" ref="C20:D20" si="10">C7</f>
        <v>2700</v>
      </c>
      <c r="D20" s="10">
        <f t="shared" si="10"/>
        <v>20</v>
      </c>
      <c r="E20" s="10">
        <f t="shared" si="6"/>
        <v>54000</v>
      </c>
      <c r="F20" s="10">
        <v>0.0</v>
      </c>
      <c r="G20" s="10">
        <f t="shared" si="7"/>
        <v>0</v>
      </c>
      <c r="I20" s="5">
        <f t="shared" si="8"/>
        <v>5400</v>
      </c>
    </row>
    <row r="21" ht="15.75" customHeight="1">
      <c r="B21" s="10" t="s">
        <v>12</v>
      </c>
      <c r="C21" s="10">
        <f t="shared" ref="C21:C27" si="11">C8</f>
        <v>3900</v>
      </c>
      <c r="D21" s="11">
        <v>54.0</v>
      </c>
      <c r="E21" s="10">
        <f t="shared" si="6"/>
        <v>210600</v>
      </c>
      <c r="F21" s="11">
        <v>0.0</v>
      </c>
      <c r="G21" s="10">
        <f t="shared" si="7"/>
        <v>0</v>
      </c>
      <c r="I21" s="5">
        <f t="shared" si="8"/>
        <v>7800</v>
      </c>
    </row>
    <row r="22" ht="15.75" customHeight="1">
      <c r="B22" s="10" t="s">
        <v>13</v>
      </c>
      <c r="C22" s="10">
        <f t="shared" si="11"/>
        <v>9850</v>
      </c>
      <c r="D22" s="10">
        <v>4.0</v>
      </c>
      <c r="E22" s="10">
        <f t="shared" si="6"/>
        <v>39400</v>
      </c>
      <c r="F22" s="11">
        <v>0.0</v>
      </c>
      <c r="G22" s="10">
        <f t="shared" si="7"/>
        <v>0</v>
      </c>
      <c r="I22" s="5">
        <f t="shared" si="8"/>
        <v>19700</v>
      </c>
    </row>
    <row r="23" ht="15.75" customHeight="1">
      <c r="B23" s="10" t="s">
        <v>14</v>
      </c>
      <c r="C23" s="10">
        <f t="shared" si="11"/>
        <v>4075</v>
      </c>
      <c r="D23" s="10">
        <v>12.0</v>
      </c>
      <c r="E23" s="10">
        <f t="shared" si="6"/>
        <v>48900</v>
      </c>
      <c r="F23" s="11">
        <v>0.0</v>
      </c>
      <c r="G23" s="10">
        <f t="shared" si="7"/>
        <v>0</v>
      </c>
      <c r="I23" s="5">
        <f t="shared" si="8"/>
        <v>8150</v>
      </c>
    </row>
    <row r="24" ht="15.75" customHeight="1">
      <c r="B24" s="10" t="s">
        <v>15</v>
      </c>
      <c r="C24" s="10">
        <f t="shared" si="11"/>
        <v>2980</v>
      </c>
      <c r="D24" s="10">
        <v>12.0</v>
      </c>
      <c r="E24" s="10">
        <f t="shared" si="6"/>
        <v>35760</v>
      </c>
      <c r="F24" s="11">
        <v>0.0</v>
      </c>
      <c r="G24" s="10">
        <f t="shared" si="7"/>
        <v>0</v>
      </c>
      <c r="I24" s="5">
        <f t="shared" si="8"/>
        <v>5960</v>
      </c>
    </row>
    <row r="25" ht="15.75" customHeight="1">
      <c r="B25" s="10" t="s">
        <v>16</v>
      </c>
      <c r="C25" s="10">
        <f t="shared" si="11"/>
        <v>8610</v>
      </c>
      <c r="D25" s="10">
        <v>4.0</v>
      </c>
      <c r="E25" s="10">
        <f t="shared" si="6"/>
        <v>34440</v>
      </c>
      <c r="F25" s="11">
        <v>0.0</v>
      </c>
      <c r="G25" s="10">
        <f t="shared" si="7"/>
        <v>0</v>
      </c>
      <c r="I25" s="5">
        <f t="shared" si="8"/>
        <v>17220</v>
      </c>
    </row>
    <row r="26" ht="15.75" customHeight="1">
      <c r="B26" s="10" t="s">
        <v>17</v>
      </c>
      <c r="C26" s="10">
        <f t="shared" si="11"/>
        <v>4030</v>
      </c>
      <c r="D26" s="10">
        <v>12.0</v>
      </c>
      <c r="E26" s="10">
        <f t="shared" si="6"/>
        <v>48360</v>
      </c>
      <c r="F26" s="11">
        <v>0.0</v>
      </c>
      <c r="G26" s="10">
        <f t="shared" si="7"/>
        <v>0</v>
      </c>
      <c r="I26" s="5">
        <f t="shared" si="8"/>
        <v>8060</v>
      </c>
    </row>
    <row r="27" ht="15.75" customHeight="1">
      <c r="B27" s="10" t="s">
        <v>18</v>
      </c>
      <c r="C27" s="10">
        <f t="shared" si="11"/>
        <v>2850</v>
      </c>
      <c r="D27" s="10">
        <v>12.0</v>
      </c>
      <c r="E27" s="10">
        <f t="shared" si="6"/>
        <v>34200</v>
      </c>
      <c r="F27" s="11">
        <v>0.0</v>
      </c>
      <c r="G27" s="10">
        <f t="shared" si="7"/>
        <v>0</v>
      </c>
      <c r="I27" s="5">
        <f t="shared" si="8"/>
        <v>5700</v>
      </c>
    </row>
    <row r="28" ht="15.75" customHeight="1">
      <c r="B28" s="12" t="s">
        <v>21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4"/>
      <c r="I28" s="5" t="s">
        <v>7</v>
      </c>
      <c r="J28" s="6"/>
    </row>
    <row r="29" ht="15.75" customHeight="1">
      <c r="B29" s="13" t="s">
        <v>8</v>
      </c>
      <c r="C29" s="13">
        <f t="shared" ref="C29:C31" si="12">C17</f>
        <v>5060</v>
      </c>
      <c r="D29" s="13">
        <v>6.0</v>
      </c>
      <c r="E29" s="13">
        <f t="shared" ref="E29:E38" si="13">C29*D29</f>
        <v>30360</v>
      </c>
      <c r="F29" s="14">
        <v>0.0</v>
      </c>
      <c r="G29" s="13">
        <f t="shared" ref="G29:G38" si="14">E29*F29</f>
        <v>0</v>
      </c>
      <c r="H29" s="9">
        <f>SUM(G29:G38)+SUM(J29:J38)</f>
        <v>236400</v>
      </c>
      <c r="I29" s="5">
        <f t="shared" ref="I29:I38" si="15">C29*2</f>
        <v>10120</v>
      </c>
    </row>
    <row r="30" ht="15.75" customHeight="1">
      <c r="B30" s="13" t="s">
        <v>9</v>
      </c>
      <c r="C30" s="13">
        <f t="shared" si="12"/>
        <v>2800</v>
      </c>
      <c r="D30" s="13">
        <v>18.0</v>
      </c>
      <c r="E30" s="13">
        <f t="shared" si="13"/>
        <v>50400</v>
      </c>
      <c r="F30" s="14">
        <v>0.0</v>
      </c>
      <c r="G30" s="13">
        <f t="shared" si="14"/>
        <v>0</v>
      </c>
      <c r="I30" s="5">
        <f t="shared" si="15"/>
        <v>5600</v>
      </c>
    </row>
    <row r="31" ht="15.75" customHeight="1">
      <c r="B31" s="13" t="s">
        <v>10</v>
      </c>
      <c r="C31" s="13">
        <f t="shared" si="12"/>
        <v>9700</v>
      </c>
      <c r="D31" s="13">
        <v>32.0</v>
      </c>
      <c r="E31" s="13">
        <f t="shared" si="13"/>
        <v>310400</v>
      </c>
      <c r="F31" s="13">
        <v>0.0</v>
      </c>
      <c r="G31" s="13">
        <f t="shared" si="14"/>
        <v>0</v>
      </c>
      <c r="I31" s="5">
        <f t="shared" si="15"/>
        <v>19400</v>
      </c>
    </row>
    <row r="32" ht="15.75" customHeight="1">
      <c r="B32" s="13" t="s">
        <v>12</v>
      </c>
      <c r="C32" s="13">
        <f t="shared" ref="C32:C38" si="16">C21</f>
        <v>3900</v>
      </c>
      <c r="D32" s="14">
        <v>54.0</v>
      </c>
      <c r="E32" s="13">
        <f t="shared" si="13"/>
        <v>210600</v>
      </c>
      <c r="F32" s="14">
        <v>0.0</v>
      </c>
      <c r="G32" s="13">
        <f t="shared" si="14"/>
        <v>0</v>
      </c>
      <c r="I32" s="5">
        <f t="shared" si="15"/>
        <v>7800</v>
      </c>
    </row>
    <row r="33" ht="15.75" customHeight="1">
      <c r="B33" s="13" t="s">
        <v>13</v>
      </c>
      <c r="C33" s="13">
        <f t="shared" si="16"/>
        <v>9850</v>
      </c>
      <c r="D33" s="13">
        <v>4.0</v>
      </c>
      <c r="E33" s="13">
        <f t="shared" si="13"/>
        <v>39400</v>
      </c>
      <c r="F33" s="14">
        <v>6.0</v>
      </c>
      <c r="G33" s="13">
        <f t="shared" si="14"/>
        <v>236400</v>
      </c>
      <c r="I33" s="5">
        <f t="shared" si="15"/>
        <v>19700</v>
      </c>
    </row>
    <row r="34" ht="15.75" customHeight="1">
      <c r="B34" s="13" t="s">
        <v>14</v>
      </c>
      <c r="C34" s="13">
        <f t="shared" si="16"/>
        <v>4075</v>
      </c>
      <c r="D34" s="13">
        <v>12.0</v>
      </c>
      <c r="E34" s="13">
        <f t="shared" si="13"/>
        <v>48900</v>
      </c>
      <c r="F34" s="14">
        <v>0.0</v>
      </c>
      <c r="G34" s="13">
        <f t="shared" si="14"/>
        <v>0</v>
      </c>
      <c r="I34" s="5">
        <f t="shared" si="15"/>
        <v>8150</v>
      </c>
    </row>
    <row r="35" ht="15.75" customHeight="1">
      <c r="B35" s="13" t="s">
        <v>15</v>
      </c>
      <c r="C35" s="13">
        <f t="shared" si="16"/>
        <v>2980</v>
      </c>
      <c r="D35" s="13">
        <v>12.0</v>
      </c>
      <c r="E35" s="13">
        <f t="shared" si="13"/>
        <v>35760</v>
      </c>
      <c r="F35" s="14">
        <v>0.0</v>
      </c>
      <c r="G35" s="13">
        <f t="shared" si="14"/>
        <v>0</v>
      </c>
      <c r="I35" s="5">
        <f t="shared" si="15"/>
        <v>5960</v>
      </c>
    </row>
    <row r="36" ht="15.75" customHeight="1">
      <c r="B36" s="13" t="s">
        <v>16</v>
      </c>
      <c r="C36" s="13">
        <f t="shared" si="16"/>
        <v>8610</v>
      </c>
      <c r="D36" s="13">
        <v>4.0</v>
      </c>
      <c r="E36" s="13">
        <f t="shared" si="13"/>
        <v>34440</v>
      </c>
      <c r="F36" s="13">
        <v>0.0</v>
      </c>
      <c r="G36" s="13">
        <f t="shared" si="14"/>
        <v>0</v>
      </c>
      <c r="I36" s="5">
        <f t="shared" si="15"/>
        <v>17220</v>
      </c>
    </row>
    <row r="37" ht="15.75" customHeight="1">
      <c r="B37" s="13" t="s">
        <v>17</v>
      </c>
      <c r="C37" s="13">
        <f t="shared" si="16"/>
        <v>4030</v>
      </c>
      <c r="D37" s="13">
        <v>12.0</v>
      </c>
      <c r="E37" s="13">
        <f t="shared" si="13"/>
        <v>48360</v>
      </c>
      <c r="F37" s="14">
        <v>0.0</v>
      </c>
      <c r="G37" s="13">
        <f t="shared" si="14"/>
        <v>0</v>
      </c>
      <c r="I37" s="5">
        <f t="shared" si="15"/>
        <v>8060</v>
      </c>
    </row>
    <row r="38" ht="15.75" customHeight="1">
      <c r="B38" s="13" t="s">
        <v>18</v>
      </c>
      <c r="C38" s="13">
        <f t="shared" si="16"/>
        <v>2850</v>
      </c>
      <c r="D38" s="13">
        <v>12.0</v>
      </c>
      <c r="E38" s="13">
        <f t="shared" si="13"/>
        <v>34200</v>
      </c>
      <c r="F38" s="13">
        <v>0.0</v>
      </c>
      <c r="G38" s="13">
        <f t="shared" si="14"/>
        <v>0</v>
      </c>
      <c r="I38" s="5">
        <f t="shared" si="15"/>
        <v>5700</v>
      </c>
    </row>
    <row r="39" ht="15.75" customHeight="1">
      <c r="B39" s="12" t="s">
        <v>22</v>
      </c>
      <c r="C39" s="3" t="s">
        <v>2</v>
      </c>
      <c r="D39" s="3" t="s">
        <v>3</v>
      </c>
      <c r="E39" s="3" t="s">
        <v>4</v>
      </c>
      <c r="F39" s="3" t="s">
        <v>5</v>
      </c>
      <c r="G39" s="3" t="s">
        <v>6</v>
      </c>
      <c r="H39" s="4"/>
      <c r="I39" s="5" t="s">
        <v>7</v>
      </c>
      <c r="J39" s="6"/>
    </row>
    <row r="40" ht="15.75" customHeight="1">
      <c r="B40" s="15" t="s">
        <v>8</v>
      </c>
      <c r="C40" s="15">
        <f t="shared" ref="C40:C41" si="17">C29</f>
        <v>5060</v>
      </c>
      <c r="D40" s="15">
        <v>6.0</v>
      </c>
      <c r="E40" s="15">
        <f t="shared" ref="E40:E47" si="18">C40*D40</f>
        <v>30360</v>
      </c>
      <c r="F40" s="16">
        <v>0.0</v>
      </c>
      <c r="G40" s="15">
        <f t="shared" ref="G40:G47" si="19">E40*F40</f>
        <v>0</v>
      </c>
      <c r="H40" s="9">
        <f>SUM(G40:G47)</f>
        <v>0</v>
      </c>
      <c r="I40" s="5">
        <f t="shared" ref="I40:I47" si="20">C40*2</f>
        <v>10120</v>
      </c>
    </row>
    <row r="41" ht="15.75" customHeight="1">
      <c r="B41" s="15" t="s">
        <v>9</v>
      </c>
      <c r="C41" s="15">
        <f t="shared" si="17"/>
        <v>2800</v>
      </c>
      <c r="D41" s="15">
        <v>18.0</v>
      </c>
      <c r="E41" s="15">
        <f t="shared" si="18"/>
        <v>50400</v>
      </c>
      <c r="F41" s="16">
        <v>0.0</v>
      </c>
      <c r="G41" s="15">
        <f t="shared" si="19"/>
        <v>0</v>
      </c>
      <c r="I41" s="5">
        <f t="shared" si="20"/>
        <v>5600</v>
      </c>
    </row>
    <row r="42" ht="15.75" customHeight="1">
      <c r="B42" s="15" t="s">
        <v>13</v>
      </c>
      <c r="C42" s="15">
        <f t="shared" ref="C42:C47" si="21">C33</f>
        <v>9850</v>
      </c>
      <c r="D42" s="15">
        <v>4.0</v>
      </c>
      <c r="E42" s="15">
        <f t="shared" si="18"/>
        <v>39400</v>
      </c>
      <c r="F42" s="16">
        <v>0.0</v>
      </c>
      <c r="G42" s="15">
        <f t="shared" si="19"/>
        <v>0</v>
      </c>
      <c r="I42" s="5">
        <f t="shared" si="20"/>
        <v>19700</v>
      </c>
    </row>
    <row r="43" ht="15.75" customHeight="1">
      <c r="B43" s="15" t="s">
        <v>14</v>
      </c>
      <c r="C43" s="15">
        <f t="shared" si="21"/>
        <v>4075</v>
      </c>
      <c r="D43" s="15">
        <v>12.0</v>
      </c>
      <c r="E43" s="15">
        <f t="shared" si="18"/>
        <v>48900</v>
      </c>
      <c r="F43" s="16">
        <v>0.0</v>
      </c>
      <c r="G43" s="15">
        <f t="shared" si="19"/>
        <v>0</v>
      </c>
      <c r="I43" s="5">
        <f t="shared" si="20"/>
        <v>8150</v>
      </c>
    </row>
    <row r="44" ht="15.75" customHeight="1">
      <c r="B44" s="15" t="s">
        <v>15</v>
      </c>
      <c r="C44" s="15">
        <f t="shared" si="21"/>
        <v>2980</v>
      </c>
      <c r="D44" s="15">
        <v>12.0</v>
      </c>
      <c r="E44" s="15">
        <f t="shared" si="18"/>
        <v>35760</v>
      </c>
      <c r="F44" s="16">
        <v>0.0</v>
      </c>
      <c r="G44" s="15">
        <f t="shared" si="19"/>
        <v>0</v>
      </c>
      <c r="I44" s="5">
        <f t="shared" si="20"/>
        <v>5960</v>
      </c>
    </row>
    <row r="45" ht="15.75" customHeight="1">
      <c r="B45" s="15" t="s">
        <v>16</v>
      </c>
      <c r="C45" s="15">
        <f t="shared" si="21"/>
        <v>8610</v>
      </c>
      <c r="D45" s="15">
        <v>4.0</v>
      </c>
      <c r="E45" s="15">
        <f t="shared" si="18"/>
        <v>34440</v>
      </c>
      <c r="F45" s="15">
        <v>0.0</v>
      </c>
      <c r="G45" s="15">
        <f t="shared" si="19"/>
        <v>0</v>
      </c>
      <c r="I45" s="5">
        <f t="shared" si="20"/>
        <v>17220</v>
      </c>
    </row>
    <row r="46" ht="15.75" customHeight="1">
      <c r="B46" s="15" t="s">
        <v>17</v>
      </c>
      <c r="C46" s="15">
        <f t="shared" si="21"/>
        <v>4030</v>
      </c>
      <c r="D46" s="15">
        <v>12.0</v>
      </c>
      <c r="E46" s="15">
        <f t="shared" si="18"/>
        <v>48360</v>
      </c>
      <c r="F46" s="16">
        <v>0.0</v>
      </c>
      <c r="G46" s="15">
        <f t="shared" si="19"/>
        <v>0</v>
      </c>
      <c r="I46" s="5">
        <f t="shared" si="20"/>
        <v>8060</v>
      </c>
    </row>
    <row r="47" ht="15.75" customHeight="1">
      <c r="B47" s="15" t="s">
        <v>18</v>
      </c>
      <c r="C47" s="15">
        <f t="shared" si="21"/>
        <v>2850</v>
      </c>
      <c r="D47" s="15">
        <v>12.0</v>
      </c>
      <c r="E47" s="15">
        <f t="shared" si="18"/>
        <v>34200</v>
      </c>
      <c r="F47" s="15">
        <v>0.0</v>
      </c>
      <c r="G47" s="15">
        <f t="shared" si="19"/>
        <v>0</v>
      </c>
      <c r="I47" s="5">
        <f t="shared" si="20"/>
        <v>5700</v>
      </c>
    </row>
    <row r="48" ht="15.75" customHeight="1">
      <c r="B48" s="12" t="s">
        <v>23</v>
      </c>
      <c r="C48" s="3" t="s">
        <v>2</v>
      </c>
      <c r="D48" s="3" t="s">
        <v>3</v>
      </c>
      <c r="E48" s="3" t="s">
        <v>4</v>
      </c>
      <c r="F48" s="3" t="s">
        <v>5</v>
      </c>
      <c r="G48" s="3" t="s">
        <v>6</v>
      </c>
      <c r="H48" s="4"/>
      <c r="I48" s="5" t="s">
        <v>7</v>
      </c>
    </row>
    <row r="49" ht="15.75" customHeight="1">
      <c r="B49" s="5" t="s">
        <v>24</v>
      </c>
      <c r="C49" s="5">
        <f t="shared" ref="C49:C50" si="22">C29</f>
        <v>5060</v>
      </c>
      <c r="D49" s="5">
        <v>6.0</v>
      </c>
      <c r="E49" s="5">
        <f t="shared" ref="E49:E56" si="23">C49*D49</f>
        <v>30360</v>
      </c>
      <c r="F49" s="17">
        <v>0.0</v>
      </c>
      <c r="G49" s="5">
        <f t="shared" ref="G49:G56" si="24">E49*F49</f>
        <v>0</v>
      </c>
      <c r="H49" s="9">
        <f>SUM(G49:G56)</f>
        <v>0</v>
      </c>
      <c r="I49" s="5">
        <f t="shared" ref="I49:I56" si="25">C49*2</f>
        <v>10120</v>
      </c>
    </row>
    <row r="50" ht="15.75" customHeight="1">
      <c r="B50" s="5" t="s">
        <v>25</v>
      </c>
      <c r="C50" s="5">
        <f t="shared" si="22"/>
        <v>2800</v>
      </c>
      <c r="D50" s="5">
        <v>18.0</v>
      </c>
      <c r="E50" s="5">
        <f t="shared" si="23"/>
        <v>50400</v>
      </c>
      <c r="F50" s="17">
        <v>0.0</v>
      </c>
      <c r="G50" s="5">
        <f t="shared" si="24"/>
        <v>0</v>
      </c>
      <c r="I50" s="5">
        <f t="shared" si="25"/>
        <v>5600</v>
      </c>
    </row>
    <row r="51" ht="15.75" customHeight="1">
      <c r="B51" s="5" t="s">
        <v>26</v>
      </c>
      <c r="C51" s="5">
        <f t="shared" ref="C51:C53" si="26">C33</f>
        <v>9850</v>
      </c>
      <c r="D51" s="5">
        <v>4.0</v>
      </c>
      <c r="E51" s="5">
        <f t="shared" si="23"/>
        <v>39400</v>
      </c>
      <c r="F51" s="17">
        <v>0.0</v>
      </c>
      <c r="G51" s="5">
        <f t="shared" si="24"/>
        <v>0</v>
      </c>
      <c r="I51" s="5">
        <f t="shared" si="25"/>
        <v>19700</v>
      </c>
    </row>
    <row r="52" ht="15.75" customHeight="1">
      <c r="B52" s="5" t="s">
        <v>27</v>
      </c>
      <c r="C52" s="5">
        <f t="shared" si="26"/>
        <v>4075</v>
      </c>
      <c r="D52" s="5">
        <v>12.0</v>
      </c>
      <c r="E52" s="5">
        <f t="shared" si="23"/>
        <v>48900</v>
      </c>
      <c r="F52" s="17">
        <v>0.0</v>
      </c>
      <c r="G52" s="5">
        <f t="shared" si="24"/>
        <v>0</v>
      </c>
      <c r="I52" s="5">
        <f t="shared" si="25"/>
        <v>8150</v>
      </c>
      <c r="J52" s="6"/>
    </row>
    <row r="53" ht="15.75" customHeight="1">
      <c r="B53" s="5" t="s">
        <v>28</v>
      </c>
      <c r="C53" s="5">
        <f t="shared" si="26"/>
        <v>2980</v>
      </c>
      <c r="D53" s="5">
        <v>12.0</v>
      </c>
      <c r="E53" s="5">
        <f t="shared" si="23"/>
        <v>35760</v>
      </c>
      <c r="F53" s="17">
        <v>0.0</v>
      </c>
      <c r="G53" s="5">
        <f t="shared" si="24"/>
        <v>0</v>
      </c>
      <c r="I53" s="5">
        <f t="shared" si="25"/>
        <v>5960</v>
      </c>
    </row>
    <row r="54" ht="15.75" customHeight="1">
      <c r="B54" s="5" t="s">
        <v>29</v>
      </c>
      <c r="C54" s="17">
        <v>3260.0</v>
      </c>
      <c r="D54" s="5">
        <v>12.0</v>
      </c>
      <c r="E54" s="5">
        <f t="shared" si="23"/>
        <v>39120</v>
      </c>
      <c r="F54" s="5">
        <v>0.0</v>
      </c>
      <c r="G54" s="5">
        <f t="shared" si="24"/>
        <v>0</v>
      </c>
      <c r="I54" s="5">
        <f t="shared" si="25"/>
        <v>6520</v>
      </c>
    </row>
    <row r="55" ht="15.75" customHeight="1">
      <c r="B55" s="5" t="s">
        <v>30</v>
      </c>
      <c r="C55" s="5">
        <v>5000.0</v>
      </c>
      <c r="D55" s="5">
        <v>6.0</v>
      </c>
      <c r="E55" s="5">
        <f t="shared" si="23"/>
        <v>30000</v>
      </c>
      <c r="F55" s="17">
        <v>0.0</v>
      </c>
      <c r="G55" s="5">
        <f t="shared" si="24"/>
        <v>0</v>
      </c>
      <c r="I55" s="5">
        <f t="shared" si="25"/>
        <v>10000</v>
      </c>
    </row>
    <row r="56" ht="15.75" customHeight="1">
      <c r="B56" s="5" t="s">
        <v>31</v>
      </c>
      <c r="C56" s="17">
        <v>2570.0</v>
      </c>
      <c r="D56" s="5">
        <v>18.0</v>
      </c>
      <c r="E56" s="5">
        <f t="shared" si="23"/>
        <v>46260</v>
      </c>
      <c r="F56" s="17">
        <v>0.0</v>
      </c>
      <c r="G56" s="5">
        <f t="shared" si="24"/>
        <v>0</v>
      </c>
      <c r="I56" s="5">
        <f t="shared" si="25"/>
        <v>5140</v>
      </c>
    </row>
    <row r="57" ht="15.75" customHeight="1">
      <c r="B57" s="12" t="s">
        <v>32</v>
      </c>
      <c r="C57" s="3" t="s">
        <v>2</v>
      </c>
      <c r="D57" s="3" t="s">
        <v>3</v>
      </c>
      <c r="E57" s="3" t="s">
        <v>4</v>
      </c>
      <c r="F57" s="3" t="s">
        <v>5</v>
      </c>
      <c r="G57" s="3" t="s">
        <v>6</v>
      </c>
      <c r="H57" s="4"/>
      <c r="I57" s="5" t="s">
        <v>7</v>
      </c>
    </row>
    <row r="58" ht="15.75" customHeight="1">
      <c r="B58" s="18" t="s">
        <v>33</v>
      </c>
      <c r="C58" s="19">
        <v>4525.0</v>
      </c>
      <c r="D58" s="18">
        <v>12.0</v>
      </c>
      <c r="E58" s="18">
        <f t="shared" ref="E58:E78" si="27">C58*D58</f>
        <v>54300</v>
      </c>
      <c r="F58" s="19">
        <v>0.0</v>
      </c>
      <c r="G58" s="18">
        <f t="shared" ref="G58:G78" si="28">E58*F58</f>
        <v>0</v>
      </c>
      <c r="H58" s="9">
        <f>SUM(G58:G78)</f>
        <v>0</v>
      </c>
      <c r="I58" s="5">
        <f t="shared" ref="I58:I73" si="29">C58*2.5</f>
        <v>11312.5</v>
      </c>
    </row>
    <row r="59" ht="15.75" customHeight="1">
      <c r="B59" s="18" t="s">
        <v>34</v>
      </c>
      <c r="C59" s="18">
        <f t="shared" ref="C59:C64" si="30">C58</f>
        <v>4525</v>
      </c>
      <c r="D59" s="18">
        <v>12.0</v>
      </c>
      <c r="E59" s="18">
        <f t="shared" si="27"/>
        <v>54300</v>
      </c>
      <c r="F59" s="19">
        <v>0.0</v>
      </c>
      <c r="G59" s="18">
        <f t="shared" si="28"/>
        <v>0</v>
      </c>
      <c r="I59" s="5">
        <f t="shared" si="29"/>
        <v>11312.5</v>
      </c>
    </row>
    <row r="60" ht="15.75" customHeight="1">
      <c r="B60" s="18" t="s">
        <v>35</v>
      </c>
      <c r="C60" s="18">
        <f t="shared" si="30"/>
        <v>4525</v>
      </c>
      <c r="D60" s="18">
        <v>12.0</v>
      </c>
      <c r="E60" s="18">
        <f t="shared" si="27"/>
        <v>54300</v>
      </c>
      <c r="F60" s="19">
        <v>0.0</v>
      </c>
      <c r="G60" s="18">
        <f t="shared" si="28"/>
        <v>0</v>
      </c>
      <c r="I60" s="5">
        <f t="shared" si="29"/>
        <v>11312.5</v>
      </c>
    </row>
    <row r="61" ht="15.75" customHeight="1">
      <c r="B61" s="18" t="s">
        <v>36</v>
      </c>
      <c r="C61" s="18">
        <f t="shared" si="30"/>
        <v>4525</v>
      </c>
      <c r="D61" s="18">
        <v>12.0</v>
      </c>
      <c r="E61" s="18">
        <f t="shared" si="27"/>
        <v>54300</v>
      </c>
      <c r="F61" s="19">
        <v>0.0</v>
      </c>
      <c r="G61" s="18">
        <f t="shared" si="28"/>
        <v>0</v>
      </c>
      <c r="I61" s="5">
        <f t="shared" si="29"/>
        <v>11312.5</v>
      </c>
    </row>
    <row r="62" ht="15.75" customHeight="1">
      <c r="B62" s="18" t="s">
        <v>37</v>
      </c>
      <c r="C62" s="18">
        <f t="shared" si="30"/>
        <v>4525</v>
      </c>
      <c r="D62" s="18">
        <v>12.0</v>
      </c>
      <c r="E62" s="18">
        <f t="shared" si="27"/>
        <v>54300</v>
      </c>
      <c r="F62" s="19">
        <v>0.0</v>
      </c>
      <c r="G62" s="18">
        <f t="shared" si="28"/>
        <v>0</v>
      </c>
      <c r="I62" s="5">
        <f t="shared" si="29"/>
        <v>11312.5</v>
      </c>
    </row>
    <row r="63" ht="15.75" customHeight="1">
      <c r="B63" s="18" t="s">
        <v>38</v>
      </c>
      <c r="C63" s="18">
        <f t="shared" si="30"/>
        <v>4525</v>
      </c>
      <c r="D63" s="18">
        <v>12.0</v>
      </c>
      <c r="E63" s="18">
        <f t="shared" si="27"/>
        <v>54300</v>
      </c>
      <c r="F63" s="19">
        <v>0.0</v>
      </c>
      <c r="G63" s="18">
        <f t="shared" si="28"/>
        <v>0</v>
      </c>
      <c r="I63" s="5">
        <f t="shared" si="29"/>
        <v>11312.5</v>
      </c>
    </row>
    <row r="64" ht="15.75" customHeight="1">
      <c r="B64" s="18" t="s">
        <v>39</v>
      </c>
      <c r="C64" s="18">
        <f t="shared" si="30"/>
        <v>4525</v>
      </c>
      <c r="D64" s="18">
        <v>12.0</v>
      </c>
      <c r="E64" s="18">
        <f t="shared" si="27"/>
        <v>54300</v>
      </c>
      <c r="F64" s="19">
        <v>0.0</v>
      </c>
      <c r="G64" s="18">
        <f t="shared" si="28"/>
        <v>0</v>
      </c>
      <c r="I64" s="5">
        <f t="shared" si="29"/>
        <v>11312.5</v>
      </c>
    </row>
    <row r="65" ht="15.75" customHeight="1">
      <c r="B65" s="18" t="s">
        <v>40</v>
      </c>
      <c r="C65" s="19">
        <v>4950.0</v>
      </c>
      <c r="D65" s="18">
        <v>12.0</v>
      </c>
      <c r="E65" s="18">
        <f t="shared" si="27"/>
        <v>59400</v>
      </c>
      <c r="F65" s="19">
        <v>0.0</v>
      </c>
      <c r="G65" s="18">
        <f t="shared" si="28"/>
        <v>0</v>
      </c>
      <c r="I65" s="5">
        <f t="shared" si="29"/>
        <v>12375</v>
      </c>
    </row>
    <row r="66" ht="15.75" customHeight="1">
      <c r="B66" s="18" t="s">
        <v>41</v>
      </c>
      <c r="C66" s="18">
        <v>2500.0</v>
      </c>
      <c r="D66" s="19">
        <v>12.0</v>
      </c>
      <c r="E66" s="18">
        <f t="shared" si="27"/>
        <v>30000</v>
      </c>
      <c r="F66" s="19">
        <v>0.0</v>
      </c>
      <c r="G66" s="18">
        <f t="shared" si="28"/>
        <v>0</v>
      </c>
      <c r="I66" s="5">
        <f t="shared" si="29"/>
        <v>6250</v>
      </c>
    </row>
    <row r="67" ht="15.75" customHeight="1">
      <c r="B67" s="18" t="s">
        <v>42</v>
      </c>
      <c r="C67" s="18">
        <f t="shared" ref="C67:C72" si="31">C66</f>
        <v>2500</v>
      </c>
      <c r="D67" s="19">
        <v>12.0</v>
      </c>
      <c r="E67" s="18">
        <f t="shared" si="27"/>
        <v>30000</v>
      </c>
      <c r="F67" s="19">
        <v>0.0</v>
      </c>
      <c r="G67" s="18">
        <f t="shared" si="28"/>
        <v>0</v>
      </c>
      <c r="I67" s="5">
        <f t="shared" si="29"/>
        <v>6250</v>
      </c>
    </row>
    <row r="68" ht="15.75" customHeight="1">
      <c r="B68" s="18" t="s">
        <v>43</v>
      </c>
      <c r="C68" s="18">
        <f t="shared" si="31"/>
        <v>2500</v>
      </c>
      <c r="D68" s="19">
        <v>12.0</v>
      </c>
      <c r="E68" s="18">
        <f t="shared" si="27"/>
        <v>30000</v>
      </c>
      <c r="F68" s="19">
        <v>0.0</v>
      </c>
      <c r="G68" s="18">
        <f t="shared" si="28"/>
        <v>0</v>
      </c>
      <c r="I68" s="5">
        <f t="shared" si="29"/>
        <v>6250</v>
      </c>
    </row>
    <row r="69" ht="15.75" customHeight="1">
      <c r="B69" s="18" t="s">
        <v>44</v>
      </c>
      <c r="C69" s="18">
        <f t="shared" si="31"/>
        <v>2500</v>
      </c>
      <c r="D69" s="19">
        <v>12.0</v>
      </c>
      <c r="E69" s="18">
        <f t="shared" si="27"/>
        <v>30000</v>
      </c>
      <c r="F69" s="19">
        <v>0.0</v>
      </c>
      <c r="G69" s="18">
        <f t="shared" si="28"/>
        <v>0</v>
      </c>
      <c r="I69" s="5">
        <f t="shared" si="29"/>
        <v>6250</v>
      </c>
      <c r="J69" s="6"/>
    </row>
    <row r="70" ht="15.75" customHeight="1">
      <c r="B70" s="18" t="s">
        <v>45</v>
      </c>
      <c r="C70" s="18">
        <f t="shared" si="31"/>
        <v>2500</v>
      </c>
      <c r="D70" s="19">
        <v>12.0</v>
      </c>
      <c r="E70" s="18">
        <f t="shared" si="27"/>
        <v>30000</v>
      </c>
      <c r="F70" s="19">
        <v>0.0</v>
      </c>
      <c r="G70" s="18">
        <f t="shared" si="28"/>
        <v>0</v>
      </c>
      <c r="I70" s="5">
        <f t="shared" si="29"/>
        <v>6250</v>
      </c>
    </row>
    <row r="71" ht="15.75" customHeight="1">
      <c r="B71" s="18" t="s">
        <v>46</v>
      </c>
      <c r="C71" s="18">
        <f t="shared" si="31"/>
        <v>2500</v>
      </c>
      <c r="D71" s="19">
        <v>12.0</v>
      </c>
      <c r="E71" s="18">
        <f t="shared" si="27"/>
        <v>30000</v>
      </c>
      <c r="F71" s="19">
        <v>0.0</v>
      </c>
      <c r="G71" s="18">
        <f t="shared" si="28"/>
        <v>0</v>
      </c>
      <c r="I71" s="5">
        <f t="shared" si="29"/>
        <v>6250</v>
      </c>
    </row>
    <row r="72" ht="15.75" customHeight="1">
      <c r="B72" s="18" t="s">
        <v>47</v>
      </c>
      <c r="C72" s="18">
        <f t="shared" si="31"/>
        <v>2500</v>
      </c>
      <c r="D72" s="19">
        <v>12.0</v>
      </c>
      <c r="E72" s="18">
        <f t="shared" si="27"/>
        <v>30000</v>
      </c>
      <c r="F72" s="19">
        <v>0.0</v>
      </c>
      <c r="G72" s="18">
        <f t="shared" si="28"/>
        <v>0</v>
      </c>
      <c r="I72" s="5">
        <f t="shared" si="29"/>
        <v>6250</v>
      </c>
    </row>
    <row r="73" ht="15.75" customHeight="1">
      <c r="B73" s="18" t="s">
        <v>48</v>
      </c>
      <c r="C73" s="18">
        <v>3200.0</v>
      </c>
      <c r="D73" s="19">
        <v>12.0</v>
      </c>
      <c r="E73" s="18">
        <f t="shared" si="27"/>
        <v>38400</v>
      </c>
      <c r="F73" s="19">
        <v>0.0</v>
      </c>
      <c r="G73" s="18">
        <f t="shared" si="28"/>
        <v>0</v>
      </c>
      <c r="I73" s="5">
        <f t="shared" si="29"/>
        <v>8000</v>
      </c>
    </row>
    <row r="74" ht="15.75" customHeight="1">
      <c r="B74" s="19" t="s">
        <v>49</v>
      </c>
      <c r="C74" s="18">
        <v>6600.0</v>
      </c>
      <c r="D74" s="18">
        <v>6.0</v>
      </c>
      <c r="E74" s="18">
        <f t="shared" si="27"/>
        <v>39600</v>
      </c>
      <c r="F74" s="19">
        <v>0.0</v>
      </c>
      <c r="G74" s="18">
        <f t="shared" si="28"/>
        <v>0</v>
      </c>
      <c r="I74" s="5">
        <f t="shared" ref="I74:I78" si="32">C74*2</f>
        <v>13200</v>
      </c>
    </row>
    <row r="75" ht="15.75" customHeight="1">
      <c r="B75" s="19" t="s">
        <v>50</v>
      </c>
      <c r="C75" s="18">
        <v>6600.0</v>
      </c>
      <c r="D75" s="18">
        <v>6.0</v>
      </c>
      <c r="E75" s="18">
        <f t="shared" si="27"/>
        <v>39600</v>
      </c>
      <c r="F75" s="19">
        <v>0.0</v>
      </c>
      <c r="G75" s="18">
        <f t="shared" si="28"/>
        <v>0</v>
      </c>
      <c r="I75" s="5">
        <f t="shared" si="32"/>
        <v>13200</v>
      </c>
    </row>
    <row r="76" ht="15.75" customHeight="1">
      <c r="B76" s="18" t="s">
        <v>51</v>
      </c>
      <c r="C76" s="18">
        <v>3200.0</v>
      </c>
      <c r="D76" s="18">
        <v>14.0</v>
      </c>
      <c r="E76" s="18">
        <f t="shared" si="27"/>
        <v>44800</v>
      </c>
      <c r="F76" s="19">
        <v>0.0</v>
      </c>
      <c r="G76" s="18">
        <f t="shared" si="28"/>
        <v>0</v>
      </c>
      <c r="I76" s="5">
        <f t="shared" si="32"/>
        <v>6400</v>
      </c>
    </row>
    <row r="77" ht="15.75" customHeight="1">
      <c r="B77" s="18" t="s">
        <v>52</v>
      </c>
      <c r="C77" s="18">
        <v>6600.0</v>
      </c>
      <c r="D77" s="18">
        <v>6.0</v>
      </c>
      <c r="E77" s="18">
        <f t="shared" si="27"/>
        <v>39600</v>
      </c>
      <c r="F77" s="19">
        <v>0.0</v>
      </c>
      <c r="G77" s="18">
        <f t="shared" si="28"/>
        <v>0</v>
      </c>
      <c r="I77" s="5">
        <f t="shared" si="32"/>
        <v>13200</v>
      </c>
    </row>
    <row r="78" ht="15.75" customHeight="1">
      <c r="B78" s="18" t="s">
        <v>53</v>
      </c>
      <c r="C78" s="18">
        <v>2400.0</v>
      </c>
      <c r="D78" s="19">
        <v>20.0</v>
      </c>
      <c r="E78" s="18">
        <f t="shared" si="27"/>
        <v>48000</v>
      </c>
      <c r="F78" s="19">
        <v>0.0</v>
      </c>
      <c r="G78" s="18">
        <f t="shared" si="28"/>
        <v>0</v>
      </c>
      <c r="I78" s="5">
        <f t="shared" si="32"/>
        <v>4800</v>
      </c>
    </row>
    <row r="79" ht="15.75" customHeight="1">
      <c r="B79" s="12" t="s">
        <v>54</v>
      </c>
      <c r="C79" s="3" t="s">
        <v>2</v>
      </c>
      <c r="D79" s="3" t="s">
        <v>3</v>
      </c>
      <c r="E79" s="3" t="s">
        <v>4</v>
      </c>
      <c r="F79" s="20" t="s">
        <v>55</v>
      </c>
      <c r="G79" s="3" t="s">
        <v>6</v>
      </c>
      <c r="H79" s="4"/>
      <c r="I79" s="5" t="s">
        <v>7</v>
      </c>
    </row>
    <row r="80" ht="15.75" customHeight="1">
      <c r="B80" s="21" t="s">
        <v>56</v>
      </c>
      <c r="C80" s="21">
        <v>2650.0</v>
      </c>
      <c r="D80" s="21">
        <v>30.0</v>
      </c>
      <c r="E80" s="21">
        <f t="shared" ref="E80:E86" si="33">C80*D80</f>
        <v>79500</v>
      </c>
      <c r="F80" s="22">
        <v>0.0</v>
      </c>
      <c r="G80" s="21">
        <f t="shared" ref="G80:G86" si="34">E80*F80</f>
        <v>0</v>
      </c>
      <c r="H80" s="9">
        <f>SUM(G80:G86)+SUM(J100:J106)</f>
        <v>0</v>
      </c>
      <c r="I80" s="5">
        <f t="shared" ref="I80:I86" si="35">C80*2</f>
        <v>5300</v>
      </c>
    </row>
    <row r="81" ht="15.75" customHeight="1">
      <c r="B81" s="21" t="s">
        <v>57</v>
      </c>
      <c r="C81" s="21">
        <v>2650.0</v>
      </c>
      <c r="D81" s="21">
        <v>30.0</v>
      </c>
      <c r="E81" s="21">
        <f t="shared" si="33"/>
        <v>79500</v>
      </c>
      <c r="F81" s="22">
        <v>0.0</v>
      </c>
      <c r="G81" s="21">
        <f t="shared" si="34"/>
        <v>0</v>
      </c>
      <c r="I81" s="5">
        <f t="shared" si="35"/>
        <v>5300</v>
      </c>
    </row>
    <row r="82" ht="15.75" customHeight="1">
      <c r="B82" s="21" t="s">
        <v>58</v>
      </c>
      <c r="C82" s="21">
        <v>2500.0</v>
      </c>
      <c r="D82" s="21">
        <v>12.0</v>
      </c>
      <c r="E82" s="21">
        <f t="shared" si="33"/>
        <v>30000</v>
      </c>
      <c r="F82" s="21">
        <v>0.0</v>
      </c>
      <c r="G82" s="21">
        <f t="shared" si="34"/>
        <v>0</v>
      </c>
      <c r="I82" s="5">
        <f t="shared" si="35"/>
        <v>5000</v>
      </c>
    </row>
    <row r="83" ht="15.75" customHeight="1">
      <c r="B83" s="21" t="s">
        <v>59</v>
      </c>
      <c r="C83" s="21">
        <v>1800.0</v>
      </c>
      <c r="D83" s="21">
        <v>24.0</v>
      </c>
      <c r="E83" s="21">
        <f t="shared" si="33"/>
        <v>43200</v>
      </c>
      <c r="F83" s="21">
        <v>0.0</v>
      </c>
      <c r="G83" s="21">
        <f t="shared" si="34"/>
        <v>0</v>
      </c>
      <c r="I83" s="5">
        <f t="shared" si="35"/>
        <v>3600</v>
      </c>
    </row>
    <row r="84" ht="15.75" customHeight="1">
      <c r="B84" s="21" t="s">
        <v>60</v>
      </c>
      <c r="C84" s="21">
        <v>2300.0</v>
      </c>
      <c r="D84" s="21">
        <v>24.0</v>
      </c>
      <c r="E84" s="21">
        <f t="shared" si="33"/>
        <v>55200</v>
      </c>
      <c r="F84" s="21">
        <v>0.0</v>
      </c>
      <c r="G84" s="21">
        <f t="shared" si="34"/>
        <v>0</v>
      </c>
      <c r="I84" s="5">
        <f t="shared" si="35"/>
        <v>4600</v>
      </c>
    </row>
    <row r="85" ht="15.75" customHeight="1">
      <c r="B85" s="21" t="s">
        <v>61</v>
      </c>
      <c r="C85" s="21">
        <v>2200.0</v>
      </c>
      <c r="D85" s="21">
        <v>24.0</v>
      </c>
      <c r="E85" s="21">
        <f t="shared" si="33"/>
        <v>52800</v>
      </c>
      <c r="F85" s="21">
        <v>0.0</v>
      </c>
      <c r="G85" s="21">
        <f t="shared" si="34"/>
        <v>0</v>
      </c>
      <c r="I85" s="5">
        <f t="shared" si="35"/>
        <v>4400</v>
      </c>
    </row>
    <row r="86" ht="15.75" customHeight="1">
      <c r="B86" s="21" t="s">
        <v>62</v>
      </c>
      <c r="C86" s="21">
        <v>2800.0</v>
      </c>
      <c r="D86" s="21">
        <v>24.0</v>
      </c>
      <c r="E86" s="21">
        <f t="shared" si="33"/>
        <v>67200</v>
      </c>
      <c r="F86" s="21">
        <v>0.0</v>
      </c>
      <c r="G86" s="21">
        <f t="shared" si="34"/>
        <v>0</v>
      </c>
      <c r="I86" s="5">
        <f t="shared" si="35"/>
        <v>5600</v>
      </c>
    </row>
    <row r="87" ht="15.75" customHeight="1">
      <c r="B87" s="23" t="s">
        <v>63</v>
      </c>
      <c r="H87" s="24">
        <f>SUM(H1:H86)</f>
        <v>236400</v>
      </c>
      <c r="I87" s="25"/>
    </row>
    <row r="88" ht="15.75" customHeight="1">
      <c r="B88" s="26" t="s">
        <v>64</v>
      </c>
      <c r="H88" s="27">
        <f>H87*0.9</f>
        <v>212760</v>
      </c>
      <c r="I88" s="27"/>
    </row>
    <row r="89" ht="15.75" customHeight="1">
      <c r="B89" s="28" t="s">
        <v>65</v>
      </c>
      <c r="H89" s="29">
        <f>H87*0.75</f>
        <v>177300</v>
      </c>
      <c r="I89" s="29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>
      <c r="I99" s="6"/>
      <c r="J99" s="6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H80:H86"/>
    <mergeCell ref="B87:G87"/>
    <mergeCell ref="B88:G88"/>
    <mergeCell ref="B89:G89"/>
    <mergeCell ref="H4:H15"/>
    <mergeCell ref="B15:F15"/>
    <mergeCell ref="H17:H27"/>
    <mergeCell ref="H29:H38"/>
    <mergeCell ref="H40:H47"/>
    <mergeCell ref="H49:H56"/>
    <mergeCell ref="H58:H78"/>
  </mergeCells>
  <printOptions gridLines="1" horizontalCentered="1"/>
  <pageMargins bottom="0.21653543307086615" footer="0.0" header="0.0" left="0.25" right="0.25" top="0.21653543307086615"/>
  <pageSetup fitToWidth="0" paperSize="9" cellComments="atEnd" orientation="portrait" pageOrder="overThenDown"/>
  <drawing r:id="rId1"/>
</worksheet>
</file>